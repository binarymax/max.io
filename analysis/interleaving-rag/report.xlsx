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max.io/maxirwin.com/analysis/interleaving-rag/"/>
    </mc:Choice>
  </mc:AlternateContent>
  <xr:revisionPtr revIDLastSave="0" documentId="13_ncr:9_{6E4BE21F-BA64-C046-8417-035FA6C72002}" xr6:coauthVersionLast="47" xr6:coauthVersionMax="47" xr10:uidLastSave="{00000000-0000-0000-0000-000000000000}"/>
  <bookViews>
    <workbookView xWindow="20" yWindow="500" windowWidth="44800" windowHeight="23020" activeTab="1" xr2:uid="{59F07DBE-1589-3E48-B2BA-108FD12EB869}"/>
  </bookViews>
  <sheets>
    <sheet name="report" sheetId="1" r:id="rId1"/>
    <sheet name="Sheet4" sheetId="5" r:id="rId2"/>
    <sheet name="getCitedFirst" sheetId="4" r:id="rId3"/>
    <sheet name="getCitedOnce" sheetId="2" r:id="rId4"/>
    <sheet name="Position Histograms" sheetId="3" r:id="rId5"/>
  </sheets>
  <definedNames>
    <definedName name="_xlnm._FilterDatabase" localSheetId="0" hidden="1">report!$A$1:$BC$13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2" i="5"/>
  <c r="H3" i="5"/>
  <c r="H4" i="5"/>
  <c r="H5" i="5"/>
  <c r="H6" i="5"/>
  <c r="H7" i="5"/>
  <c r="H8" i="5"/>
  <c r="H9" i="5"/>
  <c r="H2" i="5"/>
  <c r="E3" i="5"/>
  <c r="E4" i="5"/>
  <c r="E5" i="5"/>
  <c r="E6" i="5"/>
  <c r="E7" i="5"/>
  <c r="E8" i="5"/>
  <c r="E9" i="5"/>
  <c r="E2" i="5"/>
  <c r="K3" i="4"/>
  <c r="K4" i="4"/>
  <c r="K5" i="4"/>
  <c r="K2" i="4"/>
  <c r="H3" i="4"/>
  <c r="H4" i="4"/>
  <c r="H5" i="4"/>
  <c r="H2" i="4"/>
  <c r="E3" i="4"/>
  <c r="E4" i="4"/>
  <c r="E5" i="4"/>
  <c r="E2" i="4"/>
  <c r="I3" i="2"/>
  <c r="I4" i="2"/>
  <c r="I5" i="2"/>
  <c r="I2" i="2"/>
  <c r="F3" i="2"/>
  <c r="F4" i="2"/>
  <c r="F5" i="2"/>
  <c r="F2" i="2"/>
  <c r="C3" i="2"/>
  <c r="C4" i="2"/>
  <c r="C5" i="2"/>
  <c r="C2" i="2"/>
</calcChain>
</file>

<file path=xl/sharedStrings.xml><?xml version="1.0" encoding="utf-8"?>
<sst xmlns="http://schemas.openxmlformats.org/spreadsheetml/2006/main" count="147" uniqueCount="68">
  <si>
    <t>model</t>
  </si>
  <si>
    <t>citationType</t>
  </si>
  <si>
    <t>searches</t>
  </si>
  <si>
    <t>Bing_cited</t>
  </si>
  <si>
    <t>Bing_char_len</t>
  </si>
  <si>
    <t>Bing_char_len_avg</t>
  </si>
  <si>
    <t>Google_cited</t>
  </si>
  <si>
    <t>Google_char_len</t>
  </si>
  <si>
    <t>Google_char_len_avg</t>
  </si>
  <si>
    <t>Brave_cited</t>
  </si>
  <si>
    <t>Brave_char_len</t>
  </si>
  <si>
    <t>Brave_char_len_avg</t>
  </si>
  <si>
    <t>pos_0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</si>
  <si>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</si>
  <si>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</si>
  <si>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</si>
  <si>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</si>
  <si>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</si>
  <si>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</si>
  <si>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</si>
  <si>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</si>
  <si>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</si>
  <si>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</si>
  <si>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</si>
  <si>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</si>
  <si>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</si>
  <si>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</si>
  <si>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</si>
  <si>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</si>
  <si>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</si>
  <si>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</si>
  <si>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</si>
  <si>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</si>
  <si>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</si>
  <si>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</si>
  <si>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</si>
  <si>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</si>
  <si>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</si>
  <si>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</si>
  <si>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</si>
  <si>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</si>
  <si>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</si>
  <si>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</si>
  <si>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</si>
  <si>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</si>
  <si>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</si>
  <si>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</si>
  <si>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</si>
  <si>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</si>
  <si>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</si>
  <si>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</si>
  <si>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pos_42</t>
  </si>
  <si>
    <t>pos_39</t>
  </si>
  <si>
    <t>pos_40</t>
  </si>
  <si>
    <t>pos_43</t>
  </si>
  <si>
    <t>claude-3-5-haiku-20241022</t>
  </si>
  <si>
    <t>getCitedAll</t>
  </si>
  <si>
    <t>getCitedOnce</t>
  </si>
  <si>
    <t>getCitedFirst</t>
  </si>
  <si>
    <t>claude-sonnet-4-20250514</t>
  </si>
  <si>
    <t>gpt-4.1</t>
  </si>
  <si>
    <t>gpt-4.1-mini</t>
  </si>
  <si>
    <t>claude-3-5-haiku</t>
  </si>
  <si>
    <t>claude-sonnet-4</t>
  </si>
  <si>
    <t>Bing_cited_avg</t>
  </si>
  <si>
    <t>Brave_cited_avg</t>
  </si>
  <si>
    <t>Google_cited_avg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</si>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</sst>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RAG: Average Result</a:t>
            </a:r>
            <a:r>
              <a:rPr lang="en-US" baseline="0"/>
              <a:t> </a:t>
            </a:r>
            <a:r>
              <a:rPr lang="en-US"/>
              <a:t>Citations Per Engine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getCitedOnce!$C$1</c:f>
              <c:strCache>
                <c:ptCount val="1"/>
                <c:pt idx="0">
                  <c:v>Bing_cited_avg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getCitedOnce!$C$2:$C$5</c:f>
              <c:numCache>
                <c:formatCode>0.0</c:formatCode>
                <c:ptCount val="4"/>
                <c:pt idx="0">
                  <c:v>2.942622950819672</c:v>
                </c:pt>
                <c:pt idx="1">
                  <c:v>4.8247950819672134</c:v>
                </c:pt>
                <c:pt idx="2">
                  <c:v>5.8309426229508201</c:v>
                </c:pt>
                <c:pt idx="3">
                  <c:v>5.769467213114754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9-A04C-ACBD-7A2CCB6030A3}"/>
            </c:ext>
          </c:extLst>
        </c:ser>
        <c:ser>
          <c:idx val="1"/>
          <c:order val="1"/>
          <c:tx>
            <c:strRef>
              <c:f>getCitedOnce!$F$1</c:f>
              <c:strCache>
                <c:ptCount val="1"/>
                <c:pt idx="0">
                  <c:v>Google_cited_avg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getCitedOnce!$F$2:$F$5</c:f>
              <c:numCache>
                <c:formatCode>0.0</c:formatCode>
                <c:ptCount val="4"/>
                <c:pt idx="0">
                  <c:v>1.6137295081967213</c:v>
                </c:pt>
                <c:pt idx="1">
                  <c:v>3.139344262295082</c:v>
                </c:pt>
                <c:pt idx="2">
                  <c:v>3.439549180327869</c:v>
                </c:pt>
                <c:pt idx="3">
                  <c:v>3.800204918032787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9-A04C-ACBD-7A2CCB6030A3}"/>
            </c:ext>
          </c:extLst>
        </c:ser>
        <c:ser>
          <c:idx val="2"/>
          <c:order val="2"/>
          <c:tx>
            <c:strRef>
              <c:f>getCitedOnce!$I$1</c:f>
              <c:strCache>
                <c:ptCount val="1"/>
                <c:pt idx="0">
                  <c:v>Brave_cited_avg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getCitedOnce!$I$2:$I$5</c:f>
              <c:numCache>
                <c:formatCode>0.0</c:formatCode>
                <c:ptCount val="4"/>
                <c:pt idx="0">
                  <c:v>2.591188524590164</c:v>
                </c:pt>
                <c:pt idx="1">
                  <c:v>5.1424180327868854</c:v>
                </c:pt>
                <c:pt idx="2">
                  <c:v>6.5266393442622954</c:v>
                </c:pt>
                <c:pt idx="3">
                  <c:v>6.793032786885246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9-A04C-ACBD-7A2CCB603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4627344"/>
        <c:axId val="614629056"/>
      </c:barChart>
      <c:catAx>
        <c:axId val="61462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29056"/>
        <c:crosses val="autoZero"/>
        <c:auto val="1"/>
        <c:lblAlgn val="ctr"/>
        <c:lblOffset val="100"/>
        <c:noMultiLvlLbl val="0"/>
      </c:catAx>
      <c:valAx>
        <c:axId val="6146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2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RAG: Average Character Length per Result Cited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getCitedOnce!$D$1</c:f>
              <c:strCache>
                <c:ptCount val="1"/>
                <c:pt idx="0">
                  <c:v>Bing_char_len_avg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getCitedOnce!$D$2:$D$5</c:f>
              <c:numCache>
                <c:formatCode>General</c:formatCode>
                <c:ptCount val="4"/>
                <c:pt idx="0">
                  <c:v>300.28203342618298</c:v>
                </c:pt>
                <c:pt idx="1">
                  <c:v>290.93395625398102</c:v>
                </c:pt>
                <c:pt idx="2">
                  <c:v>286.23036373220799</c:v>
                </c:pt>
                <c:pt idx="3">
                  <c:v>288.29461907298798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2-9645-9AE3-5694E099ED77}"/>
            </c:ext>
          </c:extLst>
        </c:ser>
        <c:ser>
          <c:idx val="1"/>
          <c:order val="1"/>
          <c:tx>
            <c:strRef>
              <c:f>getCitedOnce!$G$1</c:f>
              <c:strCache>
                <c:ptCount val="1"/>
                <c:pt idx="0">
                  <c:v>Google_char_len_avg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getCitedOnce!$G$2:$G$5</c:f>
              <c:numCache>
                <c:formatCode>General</c:formatCode>
                <c:ptCount val="4"/>
                <c:pt idx="0">
                  <c:v>155.613333333333</c:v>
                </c:pt>
                <c:pt idx="1">
                  <c:v>155.10802872062601</c:v>
                </c:pt>
                <c:pt idx="2">
                  <c:v>155.078045874292</c:v>
                </c:pt>
                <c:pt idx="3">
                  <c:v>155.152871393906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2-9645-9AE3-5694E099ED77}"/>
            </c:ext>
          </c:extLst>
        </c:ser>
        <c:ser>
          <c:idx val="2"/>
          <c:order val="2"/>
          <c:tx>
            <c:strRef>
              <c:f>getCitedOnce!$J$1</c:f>
              <c:strCache>
                <c:ptCount val="1"/>
                <c:pt idx="0">
                  <c:v>Brave_char_len_avg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getCitedOnce!$J$2:$J$5</c:f>
              <c:numCache>
                <c:formatCode>General</c:formatCode>
                <c:ptCount val="4"/>
                <c:pt idx="0">
                  <c:v>286.80071174377201</c:v>
                </c:pt>
                <c:pt idx="1">
                  <c:v>277.41621837019301</c:v>
                </c:pt>
                <c:pt idx="2">
                  <c:v>271.29858712715799</c:v>
                </c:pt>
                <c:pt idx="3">
                  <c:v>270.439215686274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2-9645-9AE3-5694E099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4679856"/>
        <c:axId val="614681568"/>
      </c:barChart>
      <c:catAx>
        <c:axId val="61467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81568"/>
        <c:crosses val="autoZero"/>
        <c:auto val="1"/>
        <c:lblAlgn val="ctr"/>
        <c:lblOffset val="100"/>
        <c:noMultiLvlLbl val="0"/>
      </c:catAx>
      <c:valAx>
        <c:axId val="6146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7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Histograms'!$A$2</c:f>
              <c:strCache>
                <c:ptCount val="1"/>
                <c:pt idx="0">
                  <c:v>claude-3-5-haiku-20241022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Histograms'!$B$2:$AO$2</c:f>
              <c:numCache>
                <c:formatCode>General</c:formatCode>
                <c:ptCount val="40"/>
                <c:pt idx="0">
                  <c:v>409</c:v>
                </c:pt>
                <c:pt idx="1">
                  <c:v>489</c:v>
                </c:pt>
                <c:pt idx="2">
                  <c:v>395</c:v>
                </c:pt>
                <c:pt idx="3">
                  <c:v>387</c:v>
                </c:pt>
                <c:pt idx="4">
                  <c:v>411</c:v>
                </c:pt>
                <c:pt idx="5">
                  <c:v>335</c:v>
                </c:pt>
                <c:pt idx="6">
                  <c:v>313</c:v>
                </c:pt>
                <c:pt idx="7">
                  <c:v>397</c:v>
                </c:pt>
                <c:pt idx="8">
                  <c:v>300</c:v>
                </c:pt>
                <c:pt idx="9">
                  <c:v>252</c:v>
                </c:pt>
                <c:pt idx="10">
                  <c:v>311</c:v>
                </c:pt>
                <c:pt idx="11">
                  <c:v>261</c:v>
                </c:pt>
                <c:pt idx="12">
                  <c:v>204</c:v>
                </c:pt>
                <c:pt idx="13">
                  <c:v>257</c:v>
                </c:pt>
                <c:pt idx="14">
                  <c:v>211</c:v>
                </c:pt>
                <c:pt idx="15">
                  <c:v>202</c:v>
                </c:pt>
                <c:pt idx="16">
                  <c:v>232</c:v>
                </c:pt>
                <c:pt idx="17">
                  <c:v>175</c:v>
                </c:pt>
                <c:pt idx="18">
                  <c:v>145</c:v>
                </c:pt>
                <c:pt idx="19">
                  <c:v>160</c:v>
                </c:pt>
                <c:pt idx="20">
                  <c:v>161</c:v>
                </c:pt>
                <c:pt idx="21">
                  <c:v>135</c:v>
                </c:pt>
                <c:pt idx="22">
                  <c:v>139</c:v>
                </c:pt>
                <c:pt idx="23">
                  <c:v>117</c:v>
                </c:pt>
                <c:pt idx="24">
                  <c:v>95</c:v>
                </c:pt>
                <c:pt idx="25">
                  <c:v>97</c:v>
                </c:pt>
                <c:pt idx="26">
                  <c:v>86</c:v>
                </c:pt>
                <c:pt idx="27">
                  <c:v>76</c:v>
                </c:pt>
                <c:pt idx="28">
                  <c:v>47</c:v>
                </c:pt>
                <c:pt idx="29">
                  <c:v>47</c:v>
                </c:pt>
                <c:pt idx="30">
                  <c:v>40</c:v>
                </c:pt>
                <c:pt idx="31">
                  <c:v>40</c:v>
                </c:pt>
                <c:pt idx="32">
                  <c:v>25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8-A24C-B572-DD9063405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183040"/>
        <c:axId val="935288016"/>
      </c:barChart>
      <c:catAx>
        <c:axId val="9351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88016"/>
        <c:crosses val="autoZero"/>
        <c:auto val="1"/>
        <c:lblAlgn val="ctr"/>
        <c:lblOffset val="100"/>
        <c:noMultiLvlLbl val="0"/>
      </c:catAx>
      <c:valAx>
        <c:axId val="9352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8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Histograms'!$A$3</c:f>
              <c:strCache>
                <c:ptCount val="1"/>
                <c:pt idx="0">
                  <c:v>claude-sonnet-4-20250514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Histograms'!$B$3:$AO$3</c:f>
              <c:numCache>
                <c:formatCode>General</c:formatCode>
                <c:ptCount val="40"/>
                <c:pt idx="0">
                  <c:v>727</c:v>
                </c:pt>
                <c:pt idx="1">
                  <c:v>739</c:v>
                </c:pt>
                <c:pt idx="2">
                  <c:v>611</c:v>
                </c:pt>
                <c:pt idx="3">
                  <c:v>617</c:v>
                </c:pt>
                <c:pt idx="4">
                  <c:v>627</c:v>
                </c:pt>
                <c:pt idx="5">
                  <c:v>550</c:v>
                </c:pt>
                <c:pt idx="6">
                  <c:v>532</c:v>
                </c:pt>
                <c:pt idx="7">
                  <c:v>602</c:v>
                </c:pt>
                <c:pt idx="8">
                  <c:v>497</c:v>
                </c:pt>
                <c:pt idx="9">
                  <c:v>455</c:v>
                </c:pt>
                <c:pt idx="10">
                  <c:v>515</c:v>
                </c:pt>
                <c:pt idx="11">
                  <c:v>436</c:v>
                </c:pt>
                <c:pt idx="12">
                  <c:v>411</c:v>
                </c:pt>
                <c:pt idx="13">
                  <c:v>441</c:v>
                </c:pt>
                <c:pt idx="14">
                  <c:v>434</c:v>
                </c:pt>
                <c:pt idx="15">
                  <c:v>367</c:v>
                </c:pt>
                <c:pt idx="16">
                  <c:v>435</c:v>
                </c:pt>
                <c:pt idx="17">
                  <c:v>355</c:v>
                </c:pt>
                <c:pt idx="18">
                  <c:v>332</c:v>
                </c:pt>
                <c:pt idx="19">
                  <c:v>373</c:v>
                </c:pt>
                <c:pt idx="20">
                  <c:v>327</c:v>
                </c:pt>
                <c:pt idx="21">
                  <c:v>306</c:v>
                </c:pt>
                <c:pt idx="22">
                  <c:v>308</c:v>
                </c:pt>
                <c:pt idx="23">
                  <c:v>250</c:v>
                </c:pt>
                <c:pt idx="24">
                  <c:v>273</c:v>
                </c:pt>
                <c:pt idx="25">
                  <c:v>240</c:v>
                </c:pt>
                <c:pt idx="26">
                  <c:v>214</c:v>
                </c:pt>
                <c:pt idx="27">
                  <c:v>180</c:v>
                </c:pt>
                <c:pt idx="28">
                  <c:v>140</c:v>
                </c:pt>
                <c:pt idx="29">
                  <c:v>120</c:v>
                </c:pt>
                <c:pt idx="30">
                  <c:v>108</c:v>
                </c:pt>
                <c:pt idx="31">
                  <c:v>94</c:v>
                </c:pt>
                <c:pt idx="32">
                  <c:v>64</c:v>
                </c:pt>
                <c:pt idx="33">
                  <c:v>35</c:v>
                </c:pt>
                <c:pt idx="34">
                  <c:v>28</c:v>
                </c:pt>
                <c:pt idx="35">
                  <c:v>25</c:v>
                </c:pt>
                <c:pt idx="36">
                  <c:v>10</c:v>
                </c:pt>
                <c:pt idx="37">
                  <c:v>11</c:v>
                </c:pt>
                <c:pt idx="38">
                  <c:v>3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F-D646-A109-140508F44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93328"/>
        <c:axId val="1272949920"/>
      </c:barChart>
      <c:catAx>
        <c:axId val="12725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49920"/>
        <c:crosses val="autoZero"/>
        <c:auto val="1"/>
        <c:lblAlgn val="ctr"/>
        <c:lblOffset val="100"/>
        <c:noMultiLvlLbl val="0"/>
      </c:catAx>
      <c:valAx>
        <c:axId val="12729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9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Histograms'!$A$4</c:f>
              <c:strCache>
                <c:ptCount val="1"/>
                <c:pt idx="0">
                  <c:v>gpt-4.1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Histograms'!$B$4:$AO$4</c:f>
              <c:numCache>
                <c:formatCode>General</c:formatCode>
                <c:ptCount val="40"/>
                <c:pt idx="0">
                  <c:v>766</c:v>
                </c:pt>
                <c:pt idx="1">
                  <c:v>782</c:v>
                </c:pt>
                <c:pt idx="2">
                  <c:v>631</c:v>
                </c:pt>
                <c:pt idx="3">
                  <c:v>631</c:v>
                </c:pt>
                <c:pt idx="4">
                  <c:v>699</c:v>
                </c:pt>
                <c:pt idx="5">
                  <c:v>577</c:v>
                </c:pt>
                <c:pt idx="6">
                  <c:v>555</c:v>
                </c:pt>
                <c:pt idx="7">
                  <c:v>622</c:v>
                </c:pt>
                <c:pt idx="8">
                  <c:v>516</c:v>
                </c:pt>
                <c:pt idx="9">
                  <c:v>515</c:v>
                </c:pt>
                <c:pt idx="10">
                  <c:v>579</c:v>
                </c:pt>
                <c:pt idx="11">
                  <c:v>497</c:v>
                </c:pt>
                <c:pt idx="12">
                  <c:v>493</c:v>
                </c:pt>
                <c:pt idx="13">
                  <c:v>594</c:v>
                </c:pt>
                <c:pt idx="14">
                  <c:v>500</c:v>
                </c:pt>
                <c:pt idx="15">
                  <c:v>467</c:v>
                </c:pt>
                <c:pt idx="16">
                  <c:v>542</c:v>
                </c:pt>
                <c:pt idx="17">
                  <c:v>425</c:v>
                </c:pt>
                <c:pt idx="18">
                  <c:v>423</c:v>
                </c:pt>
                <c:pt idx="19">
                  <c:v>492</c:v>
                </c:pt>
                <c:pt idx="20">
                  <c:v>438</c:v>
                </c:pt>
                <c:pt idx="21">
                  <c:v>416</c:v>
                </c:pt>
                <c:pt idx="22">
                  <c:v>444</c:v>
                </c:pt>
                <c:pt idx="23">
                  <c:v>399</c:v>
                </c:pt>
                <c:pt idx="24">
                  <c:v>365</c:v>
                </c:pt>
                <c:pt idx="25">
                  <c:v>332</c:v>
                </c:pt>
                <c:pt idx="26">
                  <c:v>324</c:v>
                </c:pt>
                <c:pt idx="27">
                  <c:v>285</c:v>
                </c:pt>
                <c:pt idx="28">
                  <c:v>234</c:v>
                </c:pt>
                <c:pt idx="29">
                  <c:v>207</c:v>
                </c:pt>
                <c:pt idx="30">
                  <c:v>203</c:v>
                </c:pt>
                <c:pt idx="31">
                  <c:v>131</c:v>
                </c:pt>
                <c:pt idx="32">
                  <c:v>115</c:v>
                </c:pt>
                <c:pt idx="33">
                  <c:v>85</c:v>
                </c:pt>
                <c:pt idx="34">
                  <c:v>42</c:v>
                </c:pt>
                <c:pt idx="35">
                  <c:v>47</c:v>
                </c:pt>
                <c:pt idx="36">
                  <c:v>22</c:v>
                </c:pt>
                <c:pt idx="37">
                  <c:v>18</c:v>
                </c:pt>
                <c:pt idx="38">
                  <c:v>4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6-E946-BEA1-438CD008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568671"/>
        <c:axId val="1956318255"/>
      </c:barChart>
      <c:catAx>
        <c:axId val="195656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18255"/>
        <c:crosses val="autoZero"/>
        <c:auto val="1"/>
        <c:lblAlgn val="ctr"/>
        <c:lblOffset val="100"/>
        <c:noMultiLvlLbl val="0"/>
      </c:catAx>
      <c:valAx>
        <c:axId val="19563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6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Histograms'!$A$5</c:f>
              <c:strCache>
                <c:ptCount val="1"/>
                <c:pt idx="0">
                  <c:v>gpt-4.1-mini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Histograms'!$B$5:$AO$5</c:f>
              <c:numCache>
                <c:formatCode>General</c:formatCode>
                <c:ptCount val="40"/>
                <c:pt idx="0">
                  <c:v>852</c:v>
                </c:pt>
                <c:pt idx="1">
                  <c:v>826</c:v>
                </c:pt>
                <c:pt idx="2">
                  <c:v>725</c:v>
                </c:pt>
                <c:pt idx="3">
                  <c:v>702</c:v>
                </c:pt>
                <c:pt idx="4">
                  <c:v>719</c:v>
                </c:pt>
                <c:pt idx="5">
                  <c:v>657</c:v>
                </c:pt>
                <c:pt idx="6">
                  <c:v>638</c:v>
                </c:pt>
                <c:pt idx="7">
                  <c:v>652</c:v>
                </c:pt>
                <c:pt idx="8">
                  <c:v>598</c:v>
                </c:pt>
                <c:pt idx="9">
                  <c:v>572</c:v>
                </c:pt>
                <c:pt idx="10">
                  <c:v>602</c:v>
                </c:pt>
                <c:pt idx="11">
                  <c:v>495</c:v>
                </c:pt>
                <c:pt idx="12">
                  <c:v>515</c:v>
                </c:pt>
                <c:pt idx="13">
                  <c:v>589</c:v>
                </c:pt>
                <c:pt idx="14">
                  <c:v>520</c:v>
                </c:pt>
                <c:pt idx="15">
                  <c:v>485</c:v>
                </c:pt>
                <c:pt idx="16">
                  <c:v>519</c:v>
                </c:pt>
                <c:pt idx="17">
                  <c:v>441</c:v>
                </c:pt>
                <c:pt idx="18">
                  <c:v>453</c:v>
                </c:pt>
                <c:pt idx="19">
                  <c:v>485</c:v>
                </c:pt>
                <c:pt idx="20">
                  <c:v>437</c:v>
                </c:pt>
                <c:pt idx="21">
                  <c:v>411</c:v>
                </c:pt>
                <c:pt idx="22">
                  <c:v>430</c:v>
                </c:pt>
                <c:pt idx="23">
                  <c:v>350</c:v>
                </c:pt>
                <c:pt idx="24">
                  <c:v>340</c:v>
                </c:pt>
                <c:pt idx="25">
                  <c:v>359</c:v>
                </c:pt>
                <c:pt idx="26">
                  <c:v>309</c:v>
                </c:pt>
                <c:pt idx="27">
                  <c:v>262</c:v>
                </c:pt>
                <c:pt idx="28">
                  <c:v>240</c:v>
                </c:pt>
                <c:pt idx="29">
                  <c:v>186</c:v>
                </c:pt>
                <c:pt idx="30">
                  <c:v>176</c:v>
                </c:pt>
                <c:pt idx="31">
                  <c:v>123</c:v>
                </c:pt>
                <c:pt idx="32">
                  <c:v>110</c:v>
                </c:pt>
                <c:pt idx="33">
                  <c:v>61</c:v>
                </c:pt>
                <c:pt idx="34">
                  <c:v>48</c:v>
                </c:pt>
                <c:pt idx="35">
                  <c:v>40</c:v>
                </c:pt>
                <c:pt idx="36">
                  <c:v>18</c:v>
                </c:pt>
                <c:pt idx="37">
                  <c:v>16</c:v>
                </c:pt>
                <c:pt idx="38">
                  <c:v>6</c:v>
                </c:pt>
                <c:pt idx="3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2-2041-A424-61241E18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594384"/>
        <c:axId val="1012953680"/>
      </c:barChart>
      <c:catAx>
        <c:axId val="10135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53680"/>
        <c:crosses val="autoZero"/>
        <c:auto val="1"/>
        <c:lblAlgn val="ctr"/>
        <c:lblOffset val="100"/>
        <c:noMultiLvlLbl val="0"/>
      </c:catAx>
      <c:valAx>
        <c:axId val="10129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9</xdr:row>
      <xdr:rowOff>76200</xdr:rowOff>
    </xdr:from>
    <xdr:to>
      <xdr:col>10</xdr:col>
      <xdr:colOff>431800</xdr:colOff>
      <xdr:row>39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46C94-B3A0-3EB4-2C1C-CA5002E6C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393700</xdr:colOff>
      <xdr:row>9</xdr:row>
      <xdr:rowOff>76200</xdr:rowOff>
    </xdr:from>
    <xdr:to>
      <xdr:col>24</xdr:col>
      <xdr:colOff>0</xdr:colOff>
      <xdr:row>39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8BE969-DEC9-0618-E108-3D5B97D4B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146050</xdr:colOff>
      <xdr:row>7</xdr:row>
      <xdr:rowOff>95250</xdr:rowOff>
    </xdr:from>
    <xdr:to>
      <xdr:col>28</xdr:col>
      <xdr:colOff>217714</xdr:colOff>
      <xdr:row>20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F827C-2397-AFEB-5F9B-AFEF0D3A5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99786</xdr:colOff>
      <xdr:row>22</xdr:row>
      <xdr:rowOff>134258</xdr:rowOff>
    </xdr:from>
    <xdr:to>
      <xdr:col>28</xdr:col>
      <xdr:colOff>199573</xdr:colOff>
      <xdr:row>36</xdr:row>
      <xdr:rowOff>83458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28EAD6-9863-7A29-5E7C-C24AA33F5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99786</xdr:colOff>
      <xdr:row>39</xdr:row>
      <xdr:rowOff>152400</xdr:rowOff>
    </xdr:from>
    <xdr:to>
      <xdr:col>28</xdr:col>
      <xdr:colOff>163286</xdr:colOff>
      <xdr:row>53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F734B1-D451-6525-A2F1-971777E09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117929</xdr:colOff>
      <xdr:row>55</xdr:row>
      <xdr:rowOff>43543</xdr:rowOff>
    </xdr:from>
    <xdr:to>
      <xdr:col>28</xdr:col>
      <xdr:colOff>145144</xdr:colOff>
      <xdr:row>68</xdr:row>
      <xdr:rowOff>192315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E81833-4C96-C939-A39B-66C3D710B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681F-997D-DF4B-B309-288686113A5F}">
  <sheetPr filterMode="1"/>
  <dimension ref="A1:BC13"/>
  <sheetViews>
    <sheetView workbookViewId="0">
      <selection activeCell="L1" sqref="A1:L13"/>
    </sheetView>
  </sheetViews>
  <sheetFormatPr baseColWidth="10" defaultRowHeight="16" x14ac:dyDescent="0.2"/>
  <cols>
    <col min="1" max="1" width="24" bestFit="1" customWidth="1"/>
    <col min="2" max="2" width="13.6640625" bestFit="1" customWidth="1"/>
    <col min="4" max="4" width="12.1640625" bestFit="1" customWidth="1"/>
    <col min="5" max="5" width="15.1640625" bestFit="1" customWidth="1"/>
    <col min="6" max="6" width="19" bestFit="1" customWidth="1"/>
    <col min="7" max="7" width="14.33203125" bestFit="1" customWidth="1"/>
    <col min="8" max="8" width="17.33203125" bestFit="1" customWidth="1"/>
    <col min="9" max="9" width="21.1640625" bestFit="1" customWidth="1"/>
    <col min="10" max="10" width="13.33203125" bestFit="1" customWidth="1"/>
    <col min="11" max="11" width="16.1640625" bestFit="1" customWidth="1"/>
    <col min="12" max="12" width="20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idden="1" x14ac:dyDescent="0.2">
      <c r="A2" t="s">
        <v>55</v>
      </c>
      <c r="B2" t="s">
        <v>56</v>
      </c>
      <c r="C2">
        <v>976</v>
      </c>
      <c r="D2">
        <v>3929</v>
      </c>
      <c r="E2">
        <v>1197585</v>
      </c>
      <c r="F2">
        <v>304.806566556375</v>
      </c>
      <c r="G2">
        <v>1831</v>
      </c>
      <c r="H2">
        <v>285145</v>
      </c>
      <c r="I2">
        <v>155.73184052430301</v>
      </c>
      <c r="J2">
        <v>3115</v>
      </c>
      <c r="K2">
        <v>909968</v>
      </c>
      <c r="L2">
        <v>292.12455858747899</v>
      </c>
      <c r="M2">
        <v>588</v>
      </c>
      <c r="N2">
        <v>748</v>
      </c>
      <c r="O2">
        <v>534</v>
      </c>
      <c r="P2">
        <v>514</v>
      </c>
      <c r="Q2">
        <v>585</v>
      </c>
      <c r="R2">
        <v>440</v>
      </c>
      <c r="S2">
        <v>402</v>
      </c>
      <c r="T2">
        <v>515</v>
      </c>
      <c r="U2">
        <v>374</v>
      </c>
      <c r="V2">
        <v>295</v>
      </c>
      <c r="W2">
        <v>390</v>
      </c>
      <c r="X2">
        <v>322</v>
      </c>
      <c r="Y2">
        <v>240</v>
      </c>
      <c r="Z2">
        <v>308</v>
      </c>
      <c r="AA2">
        <v>257</v>
      </c>
      <c r="AB2">
        <v>234</v>
      </c>
      <c r="AC2">
        <v>286</v>
      </c>
      <c r="AD2">
        <v>206</v>
      </c>
      <c r="AE2">
        <v>175</v>
      </c>
      <c r="AF2">
        <v>191</v>
      </c>
      <c r="AG2">
        <v>185</v>
      </c>
      <c r="AH2">
        <v>157</v>
      </c>
      <c r="AI2">
        <v>161</v>
      </c>
      <c r="AJ2">
        <v>128</v>
      </c>
      <c r="AK2">
        <v>111</v>
      </c>
      <c r="AL2">
        <v>103</v>
      </c>
      <c r="AM2">
        <v>98</v>
      </c>
      <c r="AN2">
        <v>80</v>
      </c>
      <c r="AO2">
        <v>52</v>
      </c>
      <c r="AP2">
        <v>52</v>
      </c>
      <c r="AQ2">
        <v>43</v>
      </c>
      <c r="AR2">
        <v>41</v>
      </c>
      <c r="AS2">
        <v>31</v>
      </c>
      <c r="AT2">
        <v>10</v>
      </c>
      <c r="AU2">
        <v>9</v>
      </c>
      <c r="AV2">
        <v>7</v>
      </c>
      <c r="AW2">
        <v>2</v>
      </c>
      <c r="AX2">
        <v>1</v>
      </c>
    </row>
    <row r="3" spans="1:55" x14ac:dyDescent="0.2">
      <c r="A3" t="s">
        <v>55</v>
      </c>
      <c r="B3" t="s">
        <v>57</v>
      </c>
      <c r="C3">
        <v>976</v>
      </c>
      <c r="D3">
        <v>2872</v>
      </c>
      <c r="E3">
        <v>862410</v>
      </c>
      <c r="F3">
        <v>300.28203342618298</v>
      </c>
      <c r="G3">
        <v>1575</v>
      </c>
      <c r="H3">
        <v>245091</v>
      </c>
      <c r="I3">
        <v>155.613333333333</v>
      </c>
      <c r="J3">
        <v>2529</v>
      </c>
      <c r="K3">
        <v>725319</v>
      </c>
      <c r="L3">
        <v>286.80071174377201</v>
      </c>
      <c r="M3">
        <v>409</v>
      </c>
      <c r="N3">
        <v>489</v>
      </c>
      <c r="O3">
        <v>395</v>
      </c>
      <c r="P3">
        <v>387</v>
      </c>
      <c r="Q3">
        <v>411</v>
      </c>
      <c r="R3">
        <v>335</v>
      </c>
      <c r="S3">
        <v>313</v>
      </c>
      <c r="T3">
        <v>397</v>
      </c>
      <c r="U3">
        <v>300</v>
      </c>
      <c r="V3">
        <v>252</v>
      </c>
      <c r="W3">
        <v>311</v>
      </c>
      <c r="X3">
        <v>261</v>
      </c>
      <c r="Y3">
        <v>204</v>
      </c>
      <c r="Z3">
        <v>257</v>
      </c>
      <c r="AA3">
        <v>211</v>
      </c>
      <c r="AB3">
        <v>202</v>
      </c>
      <c r="AC3">
        <v>232</v>
      </c>
      <c r="AD3">
        <v>175</v>
      </c>
      <c r="AE3">
        <v>145</v>
      </c>
      <c r="AF3">
        <v>160</v>
      </c>
      <c r="AG3">
        <v>161</v>
      </c>
      <c r="AH3">
        <v>135</v>
      </c>
      <c r="AI3">
        <v>139</v>
      </c>
      <c r="AJ3">
        <v>117</v>
      </c>
      <c r="AK3">
        <v>95</v>
      </c>
      <c r="AL3">
        <v>97</v>
      </c>
      <c r="AM3">
        <v>86</v>
      </c>
      <c r="AN3">
        <v>76</v>
      </c>
      <c r="AO3">
        <v>47</v>
      </c>
      <c r="AP3">
        <v>47</v>
      </c>
      <c r="AQ3">
        <v>40</v>
      </c>
      <c r="AR3">
        <v>40</v>
      </c>
      <c r="AS3">
        <v>25</v>
      </c>
      <c r="AT3">
        <v>8</v>
      </c>
      <c r="AU3">
        <v>7</v>
      </c>
      <c r="AV3">
        <v>7</v>
      </c>
      <c r="AW3">
        <v>2</v>
      </c>
      <c r="AX3">
        <v>1</v>
      </c>
    </row>
    <row r="4" spans="1:55" x14ac:dyDescent="0.2">
      <c r="A4" t="s">
        <v>55</v>
      </c>
      <c r="B4" t="s">
        <v>58</v>
      </c>
      <c r="C4">
        <v>976</v>
      </c>
      <c r="D4">
        <v>3929</v>
      </c>
      <c r="E4">
        <v>1197585</v>
      </c>
      <c r="F4">
        <v>304.806566556375</v>
      </c>
      <c r="G4">
        <v>1831</v>
      </c>
      <c r="H4">
        <v>285145</v>
      </c>
      <c r="I4">
        <v>155.73184052430301</v>
      </c>
      <c r="J4">
        <v>3115</v>
      </c>
      <c r="K4">
        <v>909968</v>
      </c>
      <c r="L4">
        <v>292.12455858747899</v>
      </c>
      <c r="M4">
        <v>588</v>
      </c>
      <c r="N4">
        <v>748</v>
      </c>
      <c r="O4">
        <v>534</v>
      </c>
      <c r="P4">
        <v>514</v>
      </c>
      <c r="Q4">
        <v>585</v>
      </c>
      <c r="R4">
        <v>440</v>
      </c>
      <c r="S4">
        <v>402</v>
      </c>
      <c r="T4">
        <v>515</v>
      </c>
      <c r="U4">
        <v>374</v>
      </c>
      <c r="V4">
        <v>295</v>
      </c>
      <c r="W4">
        <v>390</v>
      </c>
      <c r="X4">
        <v>322</v>
      </c>
      <c r="Y4">
        <v>240</v>
      </c>
      <c r="Z4">
        <v>308</v>
      </c>
      <c r="AA4">
        <v>257</v>
      </c>
      <c r="AB4">
        <v>234</v>
      </c>
      <c r="AC4">
        <v>286</v>
      </c>
      <c r="AD4">
        <v>206</v>
      </c>
      <c r="AE4">
        <v>175</v>
      </c>
      <c r="AF4">
        <v>191</v>
      </c>
      <c r="AG4">
        <v>185</v>
      </c>
      <c r="AH4">
        <v>157</v>
      </c>
      <c r="AI4">
        <v>161</v>
      </c>
      <c r="AJ4">
        <v>128</v>
      </c>
      <c r="AK4">
        <v>111</v>
      </c>
      <c r="AL4">
        <v>103</v>
      </c>
      <c r="AM4">
        <v>98</v>
      </c>
      <c r="AN4">
        <v>80</v>
      </c>
      <c r="AO4">
        <v>52</v>
      </c>
      <c r="AP4">
        <v>52</v>
      </c>
      <c r="AQ4">
        <v>43</v>
      </c>
      <c r="AR4">
        <v>41</v>
      </c>
      <c r="AS4">
        <v>31</v>
      </c>
      <c r="AT4">
        <v>10</v>
      </c>
      <c r="AU4">
        <v>9</v>
      </c>
      <c r="AV4">
        <v>7</v>
      </c>
      <c r="AW4">
        <v>2</v>
      </c>
      <c r="AX4">
        <v>1</v>
      </c>
    </row>
    <row r="5" spans="1:55" hidden="1" x14ac:dyDescent="0.2">
      <c r="A5" t="s">
        <v>59</v>
      </c>
      <c r="B5" t="s">
        <v>56</v>
      </c>
      <c r="C5">
        <v>976</v>
      </c>
      <c r="D5">
        <v>7841</v>
      </c>
      <c r="E5">
        <v>2342358</v>
      </c>
      <c r="F5">
        <v>298.73204948348399</v>
      </c>
      <c r="G5">
        <v>3974</v>
      </c>
      <c r="H5">
        <v>618410</v>
      </c>
      <c r="I5">
        <v>155.61399094111701</v>
      </c>
      <c r="J5">
        <v>7099</v>
      </c>
      <c r="K5">
        <v>2030918</v>
      </c>
      <c r="L5">
        <v>286.085082405972</v>
      </c>
      <c r="M5">
        <v>1216</v>
      </c>
      <c r="N5">
        <v>1366</v>
      </c>
      <c r="O5">
        <v>935</v>
      </c>
      <c r="P5">
        <v>946</v>
      </c>
      <c r="Q5">
        <v>1050</v>
      </c>
      <c r="R5">
        <v>861</v>
      </c>
      <c r="S5">
        <v>775</v>
      </c>
      <c r="T5">
        <v>962</v>
      </c>
      <c r="U5">
        <v>754</v>
      </c>
      <c r="V5">
        <v>642</v>
      </c>
      <c r="W5">
        <v>772</v>
      </c>
      <c r="X5">
        <v>630</v>
      </c>
      <c r="Y5">
        <v>570</v>
      </c>
      <c r="Z5">
        <v>658</v>
      </c>
      <c r="AA5">
        <v>598</v>
      </c>
      <c r="AB5">
        <v>504</v>
      </c>
      <c r="AC5">
        <v>633</v>
      </c>
      <c r="AD5">
        <v>479</v>
      </c>
      <c r="AE5">
        <v>460</v>
      </c>
      <c r="AF5">
        <v>516</v>
      </c>
      <c r="AG5">
        <v>451</v>
      </c>
      <c r="AH5">
        <v>403</v>
      </c>
      <c r="AI5">
        <v>432</v>
      </c>
      <c r="AJ5">
        <v>321</v>
      </c>
      <c r="AK5">
        <v>376</v>
      </c>
      <c r="AL5">
        <v>309</v>
      </c>
      <c r="AM5">
        <v>291</v>
      </c>
      <c r="AN5">
        <v>230</v>
      </c>
      <c r="AO5">
        <v>177</v>
      </c>
      <c r="AP5">
        <v>150</v>
      </c>
      <c r="AQ5">
        <v>130</v>
      </c>
      <c r="AR5">
        <v>119</v>
      </c>
      <c r="AS5">
        <v>73</v>
      </c>
      <c r="AT5">
        <v>41</v>
      </c>
      <c r="AU5">
        <v>32</v>
      </c>
      <c r="AV5">
        <v>26</v>
      </c>
      <c r="AW5">
        <v>11</v>
      </c>
      <c r="AX5">
        <v>12</v>
      </c>
      <c r="AY5">
        <v>3</v>
      </c>
    </row>
    <row r="6" spans="1:55" x14ac:dyDescent="0.2">
      <c r="A6" t="s">
        <v>59</v>
      </c>
      <c r="B6" t="s">
        <v>57</v>
      </c>
      <c r="C6">
        <v>976</v>
      </c>
      <c r="D6">
        <v>4709</v>
      </c>
      <c r="E6">
        <v>1370008</v>
      </c>
      <c r="F6">
        <v>290.93395625398102</v>
      </c>
      <c r="G6">
        <v>3064</v>
      </c>
      <c r="H6">
        <v>475251</v>
      </c>
      <c r="I6">
        <v>155.10802872062601</v>
      </c>
      <c r="J6">
        <v>5019</v>
      </c>
      <c r="K6">
        <v>1392352</v>
      </c>
      <c r="L6">
        <v>277.41621837019301</v>
      </c>
      <c r="M6">
        <v>727</v>
      </c>
      <c r="N6">
        <v>739</v>
      </c>
      <c r="O6">
        <v>611</v>
      </c>
      <c r="P6">
        <v>617</v>
      </c>
      <c r="Q6">
        <v>627</v>
      </c>
      <c r="R6">
        <v>550</v>
      </c>
      <c r="S6">
        <v>532</v>
      </c>
      <c r="T6">
        <v>602</v>
      </c>
      <c r="U6">
        <v>497</v>
      </c>
      <c r="V6">
        <v>455</v>
      </c>
      <c r="W6">
        <v>515</v>
      </c>
      <c r="X6">
        <v>436</v>
      </c>
      <c r="Y6">
        <v>411</v>
      </c>
      <c r="Z6">
        <v>441</v>
      </c>
      <c r="AA6">
        <v>434</v>
      </c>
      <c r="AB6">
        <v>367</v>
      </c>
      <c r="AC6">
        <v>435</v>
      </c>
      <c r="AD6">
        <v>355</v>
      </c>
      <c r="AE6">
        <v>332</v>
      </c>
      <c r="AF6">
        <v>373</v>
      </c>
      <c r="AG6">
        <v>327</v>
      </c>
      <c r="AH6">
        <v>306</v>
      </c>
      <c r="AI6">
        <v>308</v>
      </c>
      <c r="AJ6">
        <v>250</v>
      </c>
      <c r="AK6">
        <v>273</v>
      </c>
      <c r="AL6">
        <v>240</v>
      </c>
      <c r="AM6">
        <v>214</v>
      </c>
      <c r="AN6">
        <v>180</v>
      </c>
      <c r="AO6">
        <v>140</v>
      </c>
      <c r="AP6">
        <v>120</v>
      </c>
      <c r="AQ6">
        <v>108</v>
      </c>
      <c r="AR6">
        <v>94</v>
      </c>
      <c r="AS6">
        <v>64</v>
      </c>
      <c r="AT6">
        <v>35</v>
      </c>
      <c r="AU6">
        <v>28</v>
      </c>
      <c r="AV6">
        <v>25</v>
      </c>
      <c r="AW6">
        <v>10</v>
      </c>
      <c r="AX6">
        <v>11</v>
      </c>
      <c r="AY6">
        <v>3</v>
      </c>
    </row>
    <row r="7" spans="1:55" x14ac:dyDescent="0.2">
      <c r="A7" t="s">
        <v>59</v>
      </c>
      <c r="B7" t="s">
        <v>58</v>
      </c>
      <c r="C7">
        <v>976</v>
      </c>
      <c r="D7">
        <v>7841</v>
      </c>
      <c r="E7">
        <v>2342358</v>
      </c>
      <c r="F7">
        <v>298.73204948348399</v>
      </c>
      <c r="G7">
        <v>3974</v>
      </c>
      <c r="H7">
        <v>618410</v>
      </c>
      <c r="I7">
        <v>155.61399094111701</v>
      </c>
      <c r="J7">
        <v>7099</v>
      </c>
      <c r="K7">
        <v>2030918</v>
      </c>
      <c r="L7">
        <v>286.085082405972</v>
      </c>
      <c r="M7">
        <v>1216</v>
      </c>
      <c r="N7">
        <v>1366</v>
      </c>
      <c r="O7">
        <v>935</v>
      </c>
      <c r="P7">
        <v>946</v>
      </c>
      <c r="Q7">
        <v>1050</v>
      </c>
      <c r="R7">
        <v>861</v>
      </c>
      <c r="S7">
        <v>775</v>
      </c>
      <c r="T7">
        <v>962</v>
      </c>
      <c r="U7">
        <v>754</v>
      </c>
      <c r="V7">
        <v>642</v>
      </c>
      <c r="W7">
        <v>772</v>
      </c>
      <c r="X7">
        <v>630</v>
      </c>
      <c r="Y7">
        <v>570</v>
      </c>
      <c r="Z7">
        <v>658</v>
      </c>
      <c r="AA7">
        <v>598</v>
      </c>
      <c r="AB7">
        <v>504</v>
      </c>
      <c r="AC7">
        <v>633</v>
      </c>
      <c r="AD7">
        <v>479</v>
      </c>
      <c r="AE7">
        <v>460</v>
      </c>
      <c r="AF7">
        <v>516</v>
      </c>
      <c r="AG7">
        <v>451</v>
      </c>
      <c r="AH7">
        <v>403</v>
      </c>
      <c r="AI7">
        <v>432</v>
      </c>
      <c r="AJ7">
        <v>321</v>
      </c>
      <c r="AK7">
        <v>376</v>
      </c>
      <c r="AL7">
        <v>309</v>
      </c>
      <c r="AM7">
        <v>291</v>
      </c>
      <c r="AN7">
        <v>230</v>
      </c>
      <c r="AO7">
        <v>177</v>
      </c>
      <c r="AP7">
        <v>150</v>
      </c>
      <c r="AQ7">
        <v>130</v>
      </c>
      <c r="AR7">
        <v>119</v>
      </c>
      <c r="AS7">
        <v>73</v>
      </c>
      <c r="AT7">
        <v>41</v>
      </c>
      <c r="AU7">
        <v>32</v>
      </c>
      <c r="AV7">
        <v>26</v>
      </c>
      <c r="AW7">
        <v>11</v>
      </c>
      <c r="AX7">
        <v>12</v>
      </c>
      <c r="AY7">
        <v>3</v>
      </c>
    </row>
    <row r="8" spans="1:55" hidden="1" x14ac:dyDescent="0.2">
      <c r="A8" t="s">
        <v>60</v>
      </c>
      <c r="B8" t="s">
        <v>56</v>
      </c>
      <c r="C8">
        <v>976</v>
      </c>
      <c r="D8">
        <v>13455</v>
      </c>
      <c r="E8">
        <v>3936747</v>
      </c>
      <c r="F8">
        <v>292.58617614269701</v>
      </c>
      <c r="G8">
        <v>6206</v>
      </c>
      <c r="H8">
        <v>968245</v>
      </c>
      <c r="I8">
        <v>156.01756364808199</v>
      </c>
      <c r="J8">
        <v>13385</v>
      </c>
      <c r="K8">
        <v>3768982</v>
      </c>
      <c r="L8">
        <v>281.58251774374298</v>
      </c>
      <c r="M8">
        <v>1861</v>
      </c>
      <c r="N8">
        <v>1925</v>
      </c>
      <c r="O8">
        <v>1315</v>
      </c>
      <c r="P8">
        <v>1316</v>
      </c>
      <c r="Q8">
        <v>1673</v>
      </c>
      <c r="R8">
        <v>1201</v>
      </c>
      <c r="S8">
        <v>1090</v>
      </c>
      <c r="T8">
        <v>1355</v>
      </c>
      <c r="U8">
        <v>996</v>
      </c>
      <c r="V8">
        <v>992</v>
      </c>
      <c r="W8">
        <v>1263</v>
      </c>
      <c r="X8">
        <v>1035</v>
      </c>
      <c r="Y8">
        <v>1054</v>
      </c>
      <c r="Z8">
        <v>1366</v>
      </c>
      <c r="AA8">
        <v>1024</v>
      </c>
      <c r="AB8">
        <v>974</v>
      </c>
      <c r="AC8">
        <v>1181</v>
      </c>
      <c r="AD8">
        <v>882</v>
      </c>
      <c r="AE8">
        <v>897</v>
      </c>
      <c r="AF8">
        <v>1070</v>
      </c>
      <c r="AG8">
        <v>938</v>
      </c>
      <c r="AH8">
        <v>886</v>
      </c>
      <c r="AI8">
        <v>971</v>
      </c>
      <c r="AJ8">
        <v>819</v>
      </c>
      <c r="AK8">
        <v>765</v>
      </c>
      <c r="AL8">
        <v>694</v>
      </c>
      <c r="AM8">
        <v>642</v>
      </c>
      <c r="AN8">
        <v>566</v>
      </c>
      <c r="AO8">
        <v>502</v>
      </c>
      <c r="AP8">
        <v>427</v>
      </c>
      <c r="AQ8">
        <v>432</v>
      </c>
      <c r="AR8">
        <v>267</v>
      </c>
      <c r="AS8">
        <v>245</v>
      </c>
      <c r="AT8">
        <v>162</v>
      </c>
      <c r="AU8">
        <v>79</v>
      </c>
      <c r="AV8">
        <v>92</v>
      </c>
      <c r="AW8">
        <v>39</v>
      </c>
      <c r="AX8">
        <v>40</v>
      </c>
      <c r="AY8">
        <v>8</v>
      </c>
      <c r="AZ8">
        <v>2</v>
      </c>
    </row>
    <row r="9" spans="1:55" x14ac:dyDescent="0.2">
      <c r="A9" t="s">
        <v>60</v>
      </c>
      <c r="B9" t="s">
        <v>57</v>
      </c>
      <c r="C9">
        <v>976</v>
      </c>
      <c r="D9">
        <v>5691</v>
      </c>
      <c r="E9">
        <v>1628937</v>
      </c>
      <c r="F9">
        <v>286.23036373220799</v>
      </c>
      <c r="G9">
        <v>3357</v>
      </c>
      <c r="H9">
        <v>520597</v>
      </c>
      <c r="I9">
        <v>155.078045874292</v>
      </c>
      <c r="J9">
        <v>6370</v>
      </c>
      <c r="K9">
        <v>1728172</v>
      </c>
      <c r="L9">
        <v>271.29858712715799</v>
      </c>
      <c r="M9">
        <v>766</v>
      </c>
      <c r="N9">
        <v>782</v>
      </c>
      <c r="O9">
        <v>631</v>
      </c>
      <c r="P9">
        <v>631</v>
      </c>
      <c r="Q9">
        <v>699</v>
      </c>
      <c r="R9">
        <v>577</v>
      </c>
      <c r="S9">
        <v>555</v>
      </c>
      <c r="T9">
        <v>622</v>
      </c>
      <c r="U9">
        <v>516</v>
      </c>
      <c r="V9">
        <v>515</v>
      </c>
      <c r="W9">
        <v>579</v>
      </c>
      <c r="X9">
        <v>497</v>
      </c>
      <c r="Y9">
        <v>493</v>
      </c>
      <c r="Z9">
        <v>594</v>
      </c>
      <c r="AA9">
        <v>500</v>
      </c>
      <c r="AB9">
        <v>467</v>
      </c>
      <c r="AC9">
        <v>542</v>
      </c>
      <c r="AD9">
        <v>425</v>
      </c>
      <c r="AE9">
        <v>423</v>
      </c>
      <c r="AF9">
        <v>492</v>
      </c>
      <c r="AG9">
        <v>438</v>
      </c>
      <c r="AH9">
        <v>416</v>
      </c>
      <c r="AI9">
        <v>444</v>
      </c>
      <c r="AJ9">
        <v>399</v>
      </c>
      <c r="AK9">
        <v>365</v>
      </c>
      <c r="AL9">
        <v>332</v>
      </c>
      <c r="AM9">
        <v>324</v>
      </c>
      <c r="AN9">
        <v>285</v>
      </c>
      <c r="AO9">
        <v>234</v>
      </c>
      <c r="AP9">
        <v>207</v>
      </c>
      <c r="AQ9">
        <v>203</v>
      </c>
      <c r="AR9">
        <v>131</v>
      </c>
      <c r="AS9">
        <v>115</v>
      </c>
      <c r="AT9">
        <v>85</v>
      </c>
      <c r="AU9">
        <v>42</v>
      </c>
      <c r="AV9">
        <v>47</v>
      </c>
      <c r="AW9">
        <v>22</v>
      </c>
      <c r="AX9">
        <v>18</v>
      </c>
      <c r="AY9">
        <v>4</v>
      </c>
      <c r="AZ9">
        <v>1</v>
      </c>
    </row>
    <row r="10" spans="1:55" x14ac:dyDescent="0.2">
      <c r="A10" t="s">
        <v>60</v>
      </c>
      <c r="B10" t="s">
        <v>58</v>
      </c>
      <c r="C10">
        <v>976</v>
      </c>
      <c r="D10">
        <v>13455</v>
      </c>
      <c r="E10">
        <v>3936747</v>
      </c>
      <c r="F10">
        <v>292.58617614269701</v>
      </c>
      <c r="G10">
        <v>6206</v>
      </c>
      <c r="H10">
        <v>968245</v>
      </c>
      <c r="I10">
        <v>156.01756364808199</v>
      </c>
      <c r="J10">
        <v>13385</v>
      </c>
      <c r="K10">
        <v>3768982</v>
      </c>
      <c r="L10">
        <v>281.58251774374298</v>
      </c>
      <c r="M10">
        <v>1861</v>
      </c>
      <c r="N10">
        <v>1925</v>
      </c>
      <c r="O10">
        <v>1315</v>
      </c>
      <c r="P10">
        <v>1316</v>
      </c>
      <c r="Q10">
        <v>1673</v>
      </c>
      <c r="R10">
        <v>1201</v>
      </c>
      <c r="S10">
        <v>1090</v>
      </c>
      <c r="T10">
        <v>1355</v>
      </c>
      <c r="U10">
        <v>996</v>
      </c>
      <c r="V10">
        <v>992</v>
      </c>
      <c r="W10">
        <v>1263</v>
      </c>
      <c r="X10">
        <v>1035</v>
      </c>
      <c r="Y10">
        <v>1054</v>
      </c>
      <c r="Z10">
        <v>1366</v>
      </c>
      <c r="AA10">
        <v>1024</v>
      </c>
      <c r="AB10">
        <v>974</v>
      </c>
      <c r="AC10">
        <v>1181</v>
      </c>
      <c r="AD10">
        <v>882</v>
      </c>
      <c r="AE10">
        <v>897</v>
      </c>
      <c r="AF10">
        <v>1070</v>
      </c>
      <c r="AG10">
        <v>938</v>
      </c>
      <c r="AH10">
        <v>886</v>
      </c>
      <c r="AI10">
        <v>971</v>
      </c>
      <c r="AJ10">
        <v>819</v>
      </c>
      <c r="AK10">
        <v>765</v>
      </c>
      <c r="AL10">
        <v>694</v>
      </c>
      <c r="AM10">
        <v>642</v>
      </c>
      <c r="AN10">
        <v>566</v>
      </c>
      <c r="AO10">
        <v>502</v>
      </c>
      <c r="AP10">
        <v>427</v>
      </c>
      <c r="AQ10">
        <v>432</v>
      </c>
      <c r="AR10">
        <v>267</v>
      </c>
      <c r="AS10">
        <v>245</v>
      </c>
      <c r="AT10">
        <v>162</v>
      </c>
      <c r="AU10">
        <v>79</v>
      </c>
      <c r="AV10">
        <v>92</v>
      </c>
      <c r="AW10">
        <v>39</v>
      </c>
      <c r="AX10">
        <v>40</v>
      </c>
      <c r="AY10">
        <v>8</v>
      </c>
      <c r="AZ10">
        <v>2</v>
      </c>
    </row>
    <row r="11" spans="1:55" hidden="1" x14ac:dyDescent="0.2">
      <c r="A11" t="s">
        <v>61</v>
      </c>
      <c r="B11" t="s">
        <v>56</v>
      </c>
      <c r="C11">
        <v>976</v>
      </c>
      <c r="D11">
        <v>11276</v>
      </c>
      <c r="E11">
        <v>3308882</v>
      </c>
      <c r="F11">
        <v>293.44466122738498</v>
      </c>
      <c r="G11">
        <v>6170</v>
      </c>
      <c r="H11">
        <v>960415</v>
      </c>
      <c r="I11">
        <v>155.65883306320899</v>
      </c>
      <c r="J11">
        <v>11753</v>
      </c>
      <c r="K11">
        <v>3268889</v>
      </c>
      <c r="L11">
        <v>278.13230664511099</v>
      </c>
      <c r="M11">
        <v>1882</v>
      </c>
      <c r="N11">
        <v>1806</v>
      </c>
      <c r="O11">
        <v>1408</v>
      </c>
      <c r="P11">
        <v>1351</v>
      </c>
      <c r="Q11">
        <v>1419</v>
      </c>
      <c r="R11">
        <v>1237</v>
      </c>
      <c r="S11">
        <v>1175</v>
      </c>
      <c r="T11">
        <v>1223</v>
      </c>
      <c r="U11">
        <v>1056</v>
      </c>
      <c r="V11">
        <v>986</v>
      </c>
      <c r="W11">
        <v>1134</v>
      </c>
      <c r="X11">
        <v>888</v>
      </c>
      <c r="Y11">
        <v>896</v>
      </c>
      <c r="Z11">
        <v>1101</v>
      </c>
      <c r="AA11">
        <v>913</v>
      </c>
      <c r="AB11">
        <v>831</v>
      </c>
      <c r="AC11">
        <v>937</v>
      </c>
      <c r="AD11">
        <v>736</v>
      </c>
      <c r="AE11">
        <v>794</v>
      </c>
      <c r="AF11">
        <v>870</v>
      </c>
      <c r="AG11">
        <v>738</v>
      </c>
      <c r="AH11">
        <v>689</v>
      </c>
      <c r="AI11">
        <v>757</v>
      </c>
      <c r="AJ11">
        <v>545</v>
      </c>
      <c r="AK11">
        <v>565</v>
      </c>
      <c r="AL11">
        <v>599</v>
      </c>
      <c r="AM11">
        <v>525</v>
      </c>
      <c r="AN11">
        <v>442</v>
      </c>
      <c r="AO11">
        <v>414</v>
      </c>
      <c r="AP11">
        <v>303</v>
      </c>
      <c r="AQ11">
        <v>295</v>
      </c>
      <c r="AR11">
        <v>188</v>
      </c>
      <c r="AS11">
        <v>190</v>
      </c>
      <c r="AT11">
        <v>100</v>
      </c>
      <c r="AU11">
        <v>78</v>
      </c>
      <c r="AV11">
        <v>59</v>
      </c>
      <c r="AW11">
        <v>33</v>
      </c>
      <c r="AX11">
        <v>26</v>
      </c>
      <c r="AY11">
        <v>7</v>
      </c>
      <c r="BA11">
        <v>1</v>
      </c>
      <c r="BB11">
        <v>1</v>
      </c>
      <c r="BC11">
        <v>1</v>
      </c>
    </row>
    <row r="12" spans="1:55" x14ac:dyDescent="0.2">
      <c r="A12" t="s">
        <v>61</v>
      </c>
      <c r="B12" t="s">
        <v>57</v>
      </c>
      <c r="C12">
        <v>976</v>
      </c>
      <c r="D12">
        <v>5631</v>
      </c>
      <c r="E12">
        <v>1623387</v>
      </c>
      <c r="F12">
        <v>288.29461907298798</v>
      </c>
      <c r="G12">
        <v>3709</v>
      </c>
      <c r="H12">
        <v>575462</v>
      </c>
      <c r="I12">
        <v>155.152871393906</v>
      </c>
      <c r="J12">
        <v>6630</v>
      </c>
      <c r="K12">
        <v>1793012</v>
      </c>
      <c r="L12">
        <v>270.439215686274</v>
      </c>
      <c r="M12">
        <v>852</v>
      </c>
      <c r="N12">
        <v>826</v>
      </c>
      <c r="O12">
        <v>725</v>
      </c>
      <c r="P12">
        <v>702</v>
      </c>
      <c r="Q12">
        <v>719</v>
      </c>
      <c r="R12">
        <v>657</v>
      </c>
      <c r="S12">
        <v>638</v>
      </c>
      <c r="T12">
        <v>652</v>
      </c>
      <c r="U12">
        <v>598</v>
      </c>
      <c r="V12">
        <v>572</v>
      </c>
      <c r="W12">
        <v>602</v>
      </c>
      <c r="X12">
        <v>495</v>
      </c>
      <c r="Y12">
        <v>515</v>
      </c>
      <c r="Z12">
        <v>589</v>
      </c>
      <c r="AA12">
        <v>520</v>
      </c>
      <c r="AB12">
        <v>485</v>
      </c>
      <c r="AC12">
        <v>519</v>
      </c>
      <c r="AD12">
        <v>441</v>
      </c>
      <c r="AE12">
        <v>453</v>
      </c>
      <c r="AF12">
        <v>485</v>
      </c>
      <c r="AG12">
        <v>437</v>
      </c>
      <c r="AH12">
        <v>411</v>
      </c>
      <c r="AI12">
        <v>430</v>
      </c>
      <c r="AJ12">
        <v>350</v>
      </c>
      <c r="AK12">
        <v>340</v>
      </c>
      <c r="AL12">
        <v>359</v>
      </c>
      <c r="AM12">
        <v>309</v>
      </c>
      <c r="AN12">
        <v>262</v>
      </c>
      <c r="AO12">
        <v>240</v>
      </c>
      <c r="AP12">
        <v>186</v>
      </c>
      <c r="AQ12">
        <v>176</v>
      </c>
      <c r="AR12">
        <v>123</v>
      </c>
      <c r="AS12">
        <v>110</v>
      </c>
      <c r="AT12">
        <v>61</v>
      </c>
      <c r="AU12">
        <v>48</v>
      </c>
      <c r="AV12">
        <v>40</v>
      </c>
      <c r="AW12">
        <v>18</v>
      </c>
      <c r="AX12">
        <v>16</v>
      </c>
      <c r="AY12">
        <v>6</v>
      </c>
      <c r="BA12">
        <v>1</v>
      </c>
      <c r="BB12">
        <v>1</v>
      </c>
      <c r="BC12">
        <v>1</v>
      </c>
    </row>
    <row r="13" spans="1:55" x14ac:dyDescent="0.2">
      <c r="A13" t="s">
        <v>61</v>
      </c>
      <c r="B13" t="s">
        <v>58</v>
      </c>
      <c r="C13">
        <v>976</v>
      </c>
      <c r="D13">
        <v>11276</v>
      </c>
      <c r="E13">
        <v>3308882</v>
      </c>
      <c r="F13">
        <v>293.44466122738498</v>
      </c>
      <c r="G13">
        <v>6170</v>
      </c>
      <c r="H13">
        <v>960415</v>
      </c>
      <c r="I13">
        <v>155.65883306320899</v>
      </c>
      <c r="J13">
        <v>11753</v>
      </c>
      <c r="K13">
        <v>3268889</v>
      </c>
      <c r="L13">
        <v>278.13230664511099</v>
      </c>
      <c r="M13">
        <v>1882</v>
      </c>
      <c r="N13">
        <v>1806</v>
      </c>
      <c r="O13">
        <v>1408</v>
      </c>
      <c r="P13">
        <v>1351</v>
      </c>
      <c r="Q13">
        <v>1419</v>
      </c>
      <c r="R13">
        <v>1237</v>
      </c>
      <c r="S13">
        <v>1175</v>
      </c>
      <c r="T13">
        <v>1223</v>
      </c>
      <c r="U13">
        <v>1056</v>
      </c>
      <c r="V13">
        <v>986</v>
      </c>
      <c r="W13">
        <v>1134</v>
      </c>
      <c r="X13">
        <v>888</v>
      </c>
      <c r="Y13">
        <v>896</v>
      </c>
      <c r="Z13">
        <v>1101</v>
      </c>
      <c r="AA13">
        <v>913</v>
      </c>
      <c r="AB13">
        <v>831</v>
      </c>
      <c r="AC13">
        <v>937</v>
      </c>
      <c r="AD13">
        <v>736</v>
      </c>
      <c r="AE13">
        <v>794</v>
      </c>
      <c r="AF13">
        <v>870</v>
      </c>
      <c r="AG13">
        <v>738</v>
      </c>
      <c r="AH13">
        <v>689</v>
      </c>
      <c r="AI13">
        <v>757</v>
      </c>
      <c r="AJ13">
        <v>545</v>
      </c>
      <c r="AK13">
        <v>565</v>
      </c>
      <c r="AL13">
        <v>599</v>
      </c>
      <c r="AM13">
        <v>525</v>
      </c>
      <c r="AN13">
        <v>442</v>
      </c>
      <c r="AO13">
        <v>414</v>
      </c>
      <c r="AP13">
        <v>303</v>
      </c>
      <c r="AQ13">
        <v>295</v>
      </c>
      <c r="AR13">
        <v>188</v>
      </c>
      <c r="AS13">
        <v>190</v>
      </c>
      <c r="AT13">
        <v>100</v>
      </c>
      <c r="AU13">
        <v>78</v>
      </c>
      <c r="AV13">
        <v>59</v>
      </c>
      <c r="AW13">
        <v>33</v>
      </c>
      <c r="AX13">
        <v>26</v>
      </c>
      <c r="AY13">
        <v>7</v>
      </c>
      <c r="BA13">
        <v>1</v>
      </c>
      <c r="BB13">
        <v>1</v>
      </c>
      <c r="BC13">
        <v>1</v>
      </c>
    </row>
  </sheetData>
  <autoFilter ref="A1:BC13" xr:uid="{AD2A681F-997D-DF4B-B309-288686113A5F}">
    <filterColumn colId="1">
      <filters>
        <filter val="getCitedFirst"/>
        <filter val="getCitedOnc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671A-56B9-F145-9415-AE907965E353}">
  <dimension ref="A1:L9"/>
  <sheetViews>
    <sheetView tabSelected="1" workbookViewId="0">
      <selection activeCell="L9" sqref="L9"/>
    </sheetView>
  </sheetViews>
  <sheetFormatPr baseColWidth="10" defaultRowHeight="16" x14ac:dyDescent="0.2"/>
  <cols>
    <col min="1" max="1" width="24" bestFit="1" customWidth="1"/>
    <col min="2" max="2" width="12.5" bestFit="1" customWidth="1"/>
    <col min="3" max="3" width="8.83203125" bestFit="1" customWidth="1"/>
    <col min="4" max="4" width="9.83203125" bestFit="1" customWidth="1"/>
    <col min="5" max="5" width="9.83203125" customWidth="1"/>
    <col min="6" max="6" width="16.5" bestFit="1" customWidth="1"/>
    <col min="7" max="7" width="12" bestFit="1" customWidth="1"/>
    <col min="8" max="8" width="12" customWidth="1"/>
    <col min="9" max="9" width="18.6640625" bestFit="1" customWidth="1"/>
    <col min="12" max="12" width="17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5</v>
      </c>
      <c r="G1" s="1" t="s">
        <v>6</v>
      </c>
      <c r="H1" s="1" t="s">
        <v>66</v>
      </c>
      <c r="I1" s="1" t="s">
        <v>8</v>
      </c>
      <c r="J1" s="1" t="s">
        <v>9</v>
      </c>
      <c r="K1" s="1" t="s">
        <v>65</v>
      </c>
      <c r="L1" s="1" t="s">
        <v>11</v>
      </c>
    </row>
    <row r="2" spans="1:12" x14ac:dyDescent="0.2">
      <c r="A2" t="s">
        <v>55</v>
      </c>
      <c r="B2" t="s">
        <v>57</v>
      </c>
      <c r="C2">
        <v>976</v>
      </c>
      <c r="D2">
        <v>2872</v>
      </c>
      <c r="E2" s="2">
        <f>D2/C2</f>
        <v>2.942622950819672</v>
      </c>
      <c r="F2" s="2">
        <v>300.28203342618298</v>
      </c>
      <c r="G2">
        <v>1575</v>
      </c>
      <c r="H2" s="2">
        <f>G2/C2</f>
        <v>1.6137295081967213</v>
      </c>
      <c r="I2" s="2">
        <v>155.613333333333</v>
      </c>
      <c r="J2">
        <v>2529</v>
      </c>
      <c r="K2" s="2">
        <f>J2/C2</f>
        <v>2.591188524590164</v>
      </c>
      <c r="L2" s="2">
        <v>286.80071174377201</v>
      </c>
    </row>
    <row r="3" spans="1:12" x14ac:dyDescent="0.2">
      <c r="A3" t="s">
        <v>55</v>
      </c>
      <c r="B3" t="s">
        <v>58</v>
      </c>
      <c r="C3">
        <v>976</v>
      </c>
      <c r="D3">
        <v>3929</v>
      </c>
      <c r="E3" s="2">
        <f t="shared" ref="E3:E9" si="0">D3/C3</f>
        <v>4.0256147540983607</v>
      </c>
      <c r="F3" s="2">
        <v>304.806566556375</v>
      </c>
      <c r="G3">
        <v>1831</v>
      </c>
      <c r="H3" s="2">
        <f t="shared" ref="H3:H9" si="1">G3/C3</f>
        <v>1.8760245901639345</v>
      </c>
      <c r="I3" s="2">
        <v>155.73184052430301</v>
      </c>
      <c r="J3">
        <v>3115</v>
      </c>
      <c r="K3" s="2">
        <f t="shared" ref="K3:K9" si="2">J3/C3</f>
        <v>3.1915983606557377</v>
      </c>
      <c r="L3" s="2">
        <v>292.12455858747899</v>
      </c>
    </row>
    <row r="4" spans="1:12" x14ac:dyDescent="0.2">
      <c r="A4" t="s">
        <v>59</v>
      </c>
      <c r="B4" t="s">
        <v>57</v>
      </c>
      <c r="C4">
        <v>976</v>
      </c>
      <c r="D4">
        <v>4709</v>
      </c>
      <c r="E4" s="2">
        <f t="shared" si="0"/>
        <v>4.8247950819672134</v>
      </c>
      <c r="F4" s="2">
        <v>290.93395625398102</v>
      </c>
      <c r="G4">
        <v>3064</v>
      </c>
      <c r="H4" s="2">
        <f t="shared" si="1"/>
        <v>3.139344262295082</v>
      </c>
      <c r="I4" s="2">
        <v>155.10802872062601</v>
      </c>
      <c r="J4">
        <v>5019</v>
      </c>
      <c r="K4" s="2">
        <f t="shared" si="2"/>
        <v>5.1424180327868854</v>
      </c>
      <c r="L4" s="2">
        <v>277.41621837019301</v>
      </c>
    </row>
    <row r="5" spans="1:12" x14ac:dyDescent="0.2">
      <c r="A5" t="s">
        <v>59</v>
      </c>
      <c r="B5" t="s">
        <v>58</v>
      </c>
      <c r="C5">
        <v>976</v>
      </c>
      <c r="D5">
        <v>7841</v>
      </c>
      <c r="E5" s="2">
        <f t="shared" si="0"/>
        <v>8.033811475409836</v>
      </c>
      <c r="F5" s="2">
        <v>298.73204948348399</v>
      </c>
      <c r="G5">
        <v>3974</v>
      </c>
      <c r="H5" s="2">
        <f t="shared" si="1"/>
        <v>4.0717213114754101</v>
      </c>
      <c r="I5" s="2">
        <v>155.61399094111701</v>
      </c>
      <c r="J5">
        <v>7099</v>
      </c>
      <c r="K5" s="2">
        <f t="shared" si="2"/>
        <v>7.2735655737704921</v>
      </c>
      <c r="L5" s="2">
        <v>286.085082405972</v>
      </c>
    </row>
    <row r="6" spans="1:12" x14ac:dyDescent="0.2">
      <c r="A6" t="s">
        <v>60</v>
      </c>
      <c r="B6" t="s">
        <v>57</v>
      </c>
      <c r="C6">
        <v>976</v>
      </c>
      <c r="D6">
        <v>5691</v>
      </c>
      <c r="E6" s="2">
        <f t="shared" si="0"/>
        <v>5.8309426229508201</v>
      </c>
      <c r="F6" s="2">
        <v>286.23036373220799</v>
      </c>
      <c r="G6">
        <v>3357</v>
      </c>
      <c r="H6" s="2">
        <f t="shared" si="1"/>
        <v>3.439549180327869</v>
      </c>
      <c r="I6" s="2">
        <v>155.078045874292</v>
      </c>
      <c r="J6">
        <v>6370</v>
      </c>
      <c r="K6" s="2">
        <f t="shared" si="2"/>
        <v>6.5266393442622954</v>
      </c>
      <c r="L6" s="2">
        <v>271.29858712715799</v>
      </c>
    </row>
    <row r="7" spans="1:12" x14ac:dyDescent="0.2">
      <c r="A7" t="s">
        <v>60</v>
      </c>
      <c r="B7" t="s">
        <v>58</v>
      </c>
      <c r="C7">
        <v>976</v>
      </c>
      <c r="D7">
        <v>13455</v>
      </c>
      <c r="E7" s="2">
        <f t="shared" si="0"/>
        <v>13.785860655737705</v>
      </c>
      <c r="F7" s="2">
        <v>292.58617614269701</v>
      </c>
      <c r="G7">
        <v>6206</v>
      </c>
      <c r="H7" s="2">
        <f t="shared" si="1"/>
        <v>6.3586065573770494</v>
      </c>
      <c r="I7" s="2">
        <v>156.01756364808199</v>
      </c>
      <c r="J7">
        <v>13385</v>
      </c>
      <c r="K7" s="2">
        <f t="shared" si="2"/>
        <v>13.714139344262295</v>
      </c>
      <c r="L7" s="2">
        <v>281.58251774374298</v>
      </c>
    </row>
    <row r="8" spans="1:12" x14ac:dyDescent="0.2">
      <c r="A8" t="s">
        <v>61</v>
      </c>
      <c r="B8" t="s">
        <v>57</v>
      </c>
      <c r="C8">
        <v>976</v>
      </c>
      <c r="D8">
        <v>5631</v>
      </c>
      <c r="E8" s="2">
        <f t="shared" si="0"/>
        <v>5.769467213114754</v>
      </c>
      <c r="F8" s="2">
        <v>288.29461907298798</v>
      </c>
      <c r="G8">
        <v>3709</v>
      </c>
      <c r="H8" s="2">
        <f t="shared" si="1"/>
        <v>3.800204918032787</v>
      </c>
      <c r="I8" s="2">
        <v>155.152871393906</v>
      </c>
      <c r="J8">
        <v>6630</v>
      </c>
      <c r="K8" s="2">
        <f t="shared" si="2"/>
        <v>6.793032786885246</v>
      </c>
      <c r="L8" s="2">
        <v>270.439215686274</v>
      </c>
    </row>
    <row r="9" spans="1:12" x14ac:dyDescent="0.2">
      <c r="A9" t="s">
        <v>61</v>
      </c>
      <c r="B9" t="s">
        <v>58</v>
      </c>
      <c r="C9">
        <v>976</v>
      </c>
      <c r="D9">
        <v>11276</v>
      </c>
      <c r="E9" s="2">
        <f t="shared" si="0"/>
        <v>11.553278688524591</v>
      </c>
      <c r="F9" s="2">
        <v>293.44466122738498</v>
      </c>
      <c r="G9">
        <v>6170</v>
      </c>
      <c r="H9" s="2">
        <f t="shared" si="1"/>
        <v>6.3217213114754101</v>
      </c>
      <c r="I9" s="2">
        <v>155.65883306320899</v>
      </c>
      <c r="J9">
        <v>11753</v>
      </c>
      <c r="K9" s="2">
        <f t="shared" si="2"/>
        <v>12.042008196721312</v>
      </c>
      <c r="L9" s="2">
        <v>278.13230664511099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552E-A663-E34A-BE66-880E0D5BC5EE}">
  <dimension ref="A1:L5"/>
  <sheetViews>
    <sheetView workbookViewId="0">
      <selection activeCell="M1" sqref="M1"/>
    </sheetView>
  </sheetViews>
  <sheetFormatPr baseColWidth="10" defaultRowHeight="16" x14ac:dyDescent="0.2"/>
  <cols>
    <col min="1" max="1" width="24" bestFit="1" customWidth="1"/>
    <col min="2" max="2" width="11.83203125" bestFit="1" customWidth="1"/>
    <col min="3" max="3" width="8.83203125" bestFit="1" customWidth="1"/>
    <col min="4" max="4" width="9.83203125" bestFit="1" customWidth="1"/>
    <col min="5" max="5" width="9.83203125" customWidth="1"/>
    <col min="6" max="6" width="16.5" bestFit="1" customWidth="1"/>
    <col min="7" max="7" width="12" bestFit="1" customWidth="1"/>
    <col min="8" max="8" width="12" customWidth="1"/>
    <col min="9" max="9" width="18.6640625" bestFit="1" customWidth="1"/>
    <col min="12" max="12" width="17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5</v>
      </c>
      <c r="G1" s="1" t="s">
        <v>6</v>
      </c>
      <c r="H1" s="1" t="s">
        <v>66</v>
      </c>
      <c r="I1" s="1" t="s">
        <v>8</v>
      </c>
      <c r="J1" s="1" t="s">
        <v>9</v>
      </c>
      <c r="K1" s="1" t="s">
        <v>65</v>
      </c>
      <c r="L1" s="1" t="s">
        <v>11</v>
      </c>
    </row>
    <row r="2" spans="1:12" x14ac:dyDescent="0.2">
      <c r="A2" t="s">
        <v>55</v>
      </c>
      <c r="B2" t="s">
        <v>58</v>
      </c>
      <c r="C2">
        <v>976</v>
      </c>
      <c r="D2">
        <v>3929</v>
      </c>
      <c r="E2" s="2">
        <f>D2/C2</f>
        <v>4.0256147540983607</v>
      </c>
      <c r="F2">
        <v>304.806566556375</v>
      </c>
      <c r="G2">
        <v>1831</v>
      </c>
      <c r="H2" s="2">
        <f>G2/C2</f>
        <v>1.8760245901639345</v>
      </c>
      <c r="I2">
        <v>155.73184052430301</v>
      </c>
      <c r="J2">
        <v>3115</v>
      </c>
      <c r="K2" s="2">
        <f>J2/C2</f>
        <v>3.1915983606557377</v>
      </c>
      <c r="L2">
        <v>292.12455858747899</v>
      </c>
    </row>
    <row r="3" spans="1:12" x14ac:dyDescent="0.2">
      <c r="A3" t="s">
        <v>59</v>
      </c>
      <c r="B3" t="s">
        <v>58</v>
      </c>
      <c r="C3">
        <v>976</v>
      </c>
      <c r="D3">
        <v>7841</v>
      </c>
      <c r="E3" s="2">
        <f t="shared" ref="E3:E5" si="0">D3/C3</f>
        <v>8.033811475409836</v>
      </c>
      <c r="F3">
        <v>298.73204948348399</v>
      </c>
      <c r="G3">
        <v>3974</v>
      </c>
      <c r="H3" s="2">
        <f t="shared" ref="H3:H5" si="1">G3/C3</f>
        <v>4.0717213114754101</v>
      </c>
      <c r="I3">
        <v>155.61399094111701</v>
      </c>
      <c r="J3">
        <v>7099</v>
      </c>
      <c r="K3" s="2">
        <f t="shared" ref="K3:K5" si="2">J3/C3</f>
        <v>7.2735655737704921</v>
      </c>
      <c r="L3">
        <v>286.085082405972</v>
      </c>
    </row>
    <row r="4" spans="1:12" x14ac:dyDescent="0.2">
      <c r="A4" t="s">
        <v>60</v>
      </c>
      <c r="B4" t="s">
        <v>58</v>
      </c>
      <c r="C4">
        <v>976</v>
      </c>
      <c r="D4">
        <v>13455</v>
      </c>
      <c r="E4" s="2">
        <f t="shared" si="0"/>
        <v>13.785860655737705</v>
      </c>
      <c r="F4">
        <v>292.58617614269701</v>
      </c>
      <c r="G4">
        <v>6206</v>
      </c>
      <c r="H4" s="2">
        <f t="shared" si="1"/>
        <v>6.3586065573770494</v>
      </c>
      <c r="I4">
        <v>156.01756364808199</v>
      </c>
      <c r="J4">
        <v>13385</v>
      </c>
      <c r="K4" s="2">
        <f t="shared" si="2"/>
        <v>13.714139344262295</v>
      </c>
      <c r="L4">
        <v>281.58251774374298</v>
      </c>
    </row>
    <row r="5" spans="1:12" x14ac:dyDescent="0.2">
      <c r="A5" t="s">
        <v>61</v>
      </c>
      <c r="B5" t="s">
        <v>58</v>
      </c>
      <c r="C5">
        <v>976</v>
      </c>
      <c r="D5">
        <v>11276</v>
      </c>
      <c r="E5" s="2">
        <f t="shared" si="0"/>
        <v>11.553278688524591</v>
      </c>
      <c r="F5">
        <v>293.44466122738498</v>
      </c>
      <c r="G5">
        <v>6170</v>
      </c>
      <c r="H5" s="2">
        <f t="shared" si="1"/>
        <v>6.3217213114754101</v>
      </c>
      <c r="I5">
        <v>155.65883306320899</v>
      </c>
      <c r="J5">
        <v>11753</v>
      </c>
      <c r="K5" s="2">
        <f t="shared" si="2"/>
        <v>12.042008196721312</v>
      </c>
      <c r="L5">
        <v>278.13230664511099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F8F0-30CF-4E43-ABE6-3D599D71D610}">
  <dimension ref="A1:J5"/>
  <sheetViews>
    <sheetView workbookViewId="0">
      <selection activeCell="O7" sqref="O7"/>
    </sheetView>
  </sheetViews>
  <sheetFormatPr baseColWidth="10" defaultRowHeight="16" x14ac:dyDescent="0.2"/>
  <cols>
    <col min="1" max="1" width="24" bestFit="1" customWidth="1"/>
    <col min="4" max="4" width="16.5" bestFit="1" customWidth="1"/>
    <col min="5" max="5" width="12" bestFit="1" customWidth="1"/>
    <col min="6" max="6" width="12" customWidth="1"/>
    <col min="7" max="7" width="18.6640625" bestFit="1" customWidth="1"/>
    <col min="10" max="10" width="17.5" bestFit="1" customWidth="1"/>
  </cols>
  <sheetData>
    <row r="1" spans="1:10" x14ac:dyDescent="0.2">
      <c r="A1" s="1" t="s">
        <v>0</v>
      </c>
      <c r="B1" s="1" t="s">
        <v>3</v>
      </c>
      <c r="C1" s="1" t="s">
        <v>64</v>
      </c>
      <c r="D1" s="1" t="s">
        <v>5</v>
      </c>
      <c r="E1" s="1" t="s">
        <v>6</v>
      </c>
      <c r="F1" s="1" t="s">
        <v>66</v>
      </c>
      <c r="G1" s="1" t="s">
        <v>8</v>
      </c>
      <c r="H1" s="1" t="s">
        <v>9</v>
      </c>
      <c r="I1" s="1" t="s">
        <v>65</v>
      </c>
      <c r="J1" s="1" t="s">
        <v>11</v>
      </c>
    </row>
    <row r="2" spans="1:10" x14ac:dyDescent="0.2">
      <c r="A2" t="s">
        <v>62</v>
      </c>
      <c r="B2">
        <v>2872</v>
      </c>
      <c r="C2" s="2">
        <f>B2/976</f>
        <v>2.942622950819672</v>
      </c>
      <c r="D2">
        <v>300.28203342618298</v>
      </c>
      <c r="E2">
        <v>1575</v>
      </c>
      <c r="F2" s="2">
        <f>E2/976</f>
        <v>1.6137295081967213</v>
      </c>
      <c r="G2">
        <v>155.613333333333</v>
      </c>
      <c r="H2">
        <v>2529</v>
      </c>
      <c r="I2" s="2">
        <f>H2/976</f>
        <v>2.591188524590164</v>
      </c>
      <c r="J2">
        <v>286.80071174377201</v>
      </c>
    </row>
    <row r="3" spans="1:10" x14ac:dyDescent="0.2">
      <c r="A3" t="s">
        <v>63</v>
      </c>
      <c r="B3">
        <v>4709</v>
      </c>
      <c r="C3" s="2">
        <f t="shared" ref="C3:C5" si="0">B3/976</f>
        <v>4.8247950819672134</v>
      </c>
      <c r="D3">
        <v>290.93395625398102</v>
      </c>
      <c r="E3">
        <v>3064</v>
      </c>
      <c r="F3" s="2">
        <f t="shared" ref="F3:F5" si="1">E3/976</f>
        <v>3.139344262295082</v>
      </c>
      <c r="G3">
        <v>155.10802872062601</v>
      </c>
      <c r="H3">
        <v>5019</v>
      </c>
      <c r="I3" s="2">
        <f t="shared" ref="I3:I5" si="2">H3/976</f>
        <v>5.1424180327868854</v>
      </c>
      <c r="J3">
        <v>277.41621837019301</v>
      </c>
    </row>
    <row r="4" spans="1:10" x14ac:dyDescent="0.2">
      <c r="A4" t="s">
        <v>60</v>
      </c>
      <c r="B4">
        <v>5691</v>
      </c>
      <c r="C4" s="2">
        <f t="shared" si="0"/>
        <v>5.8309426229508201</v>
      </c>
      <c r="D4">
        <v>286.23036373220799</v>
      </c>
      <c r="E4">
        <v>3357</v>
      </c>
      <c r="F4" s="2">
        <f t="shared" si="1"/>
        <v>3.439549180327869</v>
      </c>
      <c r="G4">
        <v>155.078045874292</v>
      </c>
      <c r="H4">
        <v>6370</v>
      </c>
      <c r="I4" s="2">
        <f t="shared" si="2"/>
        <v>6.5266393442622954</v>
      </c>
      <c r="J4">
        <v>271.29858712715799</v>
      </c>
    </row>
    <row r="5" spans="1:10" x14ac:dyDescent="0.2">
      <c r="A5" t="s">
        <v>61</v>
      </c>
      <c r="B5">
        <v>5631</v>
      </c>
      <c r="C5" s="2">
        <f t="shared" si="0"/>
        <v>5.769467213114754</v>
      </c>
      <c r="D5">
        <v>288.29461907298798</v>
      </c>
      <c r="E5">
        <v>3709</v>
      </c>
      <c r="F5" s="2">
        <f t="shared" si="1"/>
        <v>3.800204918032787</v>
      </c>
      <c r="G5">
        <v>155.152871393906</v>
      </c>
      <c r="H5">
        <v>6630</v>
      </c>
      <c r="I5" s="2">
        <f t="shared" si="2"/>
        <v>6.793032786885246</v>
      </c>
      <c r="J5">
        <v>270.439215686274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E4B8-5539-7940-8A80-E6D41FED97A4}">
  <dimension ref="A1:AR5"/>
  <sheetViews>
    <sheetView zoomScale="70" zoomScaleNormal="70" workbookViewId="0">
      <selection activeCell="I71" sqref="I71"/>
    </sheetView>
  </sheetViews>
  <sheetFormatPr baseColWidth="10" defaultRowHeight="16" x14ac:dyDescent="0.2"/>
  <cols>
    <col min="1" max="1" width="24" bestFit="1" customWidth="1"/>
  </cols>
  <sheetData>
    <row r="1" spans="1:44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 t="s">
        <v>67</v>
      </c>
      <c r="AP1" s="1"/>
      <c r="AQ1" s="1"/>
      <c r="AR1" s="1"/>
    </row>
    <row r="2" spans="1:44" x14ac:dyDescent="0.2">
      <c r="A2" t="s">
        <v>55</v>
      </c>
      <c r="B2">
        <v>409</v>
      </c>
      <c r="C2">
        <v>489</v>
      </c>
      <c r="D2">
        <v>395</v>
      </c>
      <c r="E2">
        <v>387</v>
      </c>
      <c r="F2">
        <v>411</v>
      </c>
      <c r="G2">
        <v>335</v>
      </c>
      <c r="H2">
        <v>313</v>
      </c>
      <c r="I2">
        <v>397</v>
      </c>
      <c r="J2">
        <v>300</v>
      </c>
      <c r="K2">
        <v>252</v>
      </c>
      <c r="L2">
        <v>311</v>
      </c>
      <c r="M2">
        <v>261</v>
      </c>
      <c r="N2">
        <v>204</v>
      </c>
      <c r="O2">
        <v>257</v>
      </c>
      <c r="P2">
        <v>211</v>
      </c>
      <c r="Q2">
        <v>202</v>
      </c>
      <c r="R2">
        <v>232</v>
      </c>
      <c r="S2">
        <v>175</v>
      </c>
      <c r="T2">
        <v>145</v>
      </c>
      <c r="U2">
        <v>160</v>
      </c>
      <c r="V2">
        <v>161</v>
      </c>
      <c r="W2">
        <v>135</v>
      </c>
      <c r="X2">
        <v>139</v>
      </c>
      <c r="Y2">
        <v>117</v>
      </c>
      <c r="Z2">
        <v>95</v>
      </c>
      <c r="AA2">
        <v>97</v>
      </c>
      <c r="AB2">
        <v>86</v>
      </c>
      <c r="AC2">
        <v>76</v>
      </c>
      <c r="AD2">
        <v>47</v>
      </c>
      <c r="AE2">
        <v>47</v>
      </c>
      <c r="AF2">
        <v>40</v>
      </c>
      <c r="AG2">
        <v>40</v>
      </c>
      <c r="AH2">
        <v>25</v>
      </c>
      <c r="AI2">
        <v>8</v>
      </c>
      <c r="AJ2">
        <v>7</v>
      </c>
      <c r="AK2">
        <v>7</v>
      </c>
      <c r="AL2">
        <v>2</v>
      </c>
      <c r="AM2">
        <v>1</v>
      </c>
      <c r="AN2">
        <v>0</v>
      </c>
      <c r="AO2">
        <v>0</v>
      </c>
    </row>
    <row r="3" spans="1:44" x14ac:dyDescent="0.2">
      <c r="A3" t="s">
        <v>59</v>
      </c>
      <c r="B3">
        <v>727</v>
      </c>
      <c r="C3">
        <v>739</v>
      </c>
      <c r="D3">
        <v>611</v>
      </c>
      <c r="E3">
        <v>617</v>
      </c>
      <c r="F3">
        <v>627</v>
      </c>
      <c r="G3">
        <v>550</v>
      </c>
      <c r="H3">
        <v>532</v>
      </c>
      <c r="I3">
        <v>602</v>
      </c>
      <c r="J3">
        <v>497</v>
      </c>
      <c r="K3">
        <v>455</v>
      </c>
      <c r="L3">
        <v>515</v>
      </c>
      <c r="M3">
        <v>436</v>
      </c>
      <c r="N3">
        <v>411</v>
      </c>
      <c r="O3">
        <v>441</v>
      </c>
      <c r="P3">
        <v>434</v>
      </c>
      <c r="Q3">
        <v>367</v>
      </c>
      <c r="R3">
        <v>435</v>
      </c>
      <c r="S3">
        <v>355</v>
      </c>
      <c r="T3">
        <v>332</v>
      </c>
      <c r="U3">
        <v>373</v>
      </c>
      <c r="V3">
        <v>327</v>
      </c>
      <c r="W3">
        <v>306</v>
      </c>
      <c r="X3">
        <v>308</v>
      </c>
      <c r="Y3">
        <v>250</v>
      </c>
      <c r="Z3">
        <v>273</v>
      </c>
      <c r="AA3">
        <v>240</v>
      </c>
      <c r="AB3">
        <v>214</v>
      </c>
      <c r="AC3">
        <v>180</v>
      </c>
      <c r="AD3">
        <v>140</v>
      </c>
      <c r="AE3">
        <v>120</v>
      </c>
      <c r="AF3">
        <v>108</v>
      </c>
      <c r="AG3">
        <v>94</v>
      </c>
      <c r="AH3">
        <v>64</v>
      </c>
      <c r="AI3">
        <v>35</v>
      </c>
      <c r="AJ3">
        <v>28</v>
      </c>
      <c r="AK3">
        <v>25</v>
      </c>
      <c r="AL3">
        <v>10</v>
      </c>
      <c r="AM3">
        <v>11</v>
      </c>
      <c r="AN3">
        <v>3</v>
      </c>
      <c r="AO3">
        <v>0</v>
      </c>
    </row>
    <row r="4" spans="1:44" x14ac:dyDescent="0.2">
      <c r="A4" t="s">
        <v>60</v>
      </c>
      <c r="B4">
        <v>766</v>
      </c>
      <c r="C4">
        <v>782</v>
      </c>
      <c r="D4">
        <v>631</v>
      </c>
      <c r="E4">
        <v>631</v>
      </c>
      <c r="F4">
        <v>699</v>
      </c>
      <c r="G4">
        <v>577</v>
      </c>
      <c r="H4">
        <v>555</v>
      </c>
      <c r="I4">
        <v>622</v>
      </c>
      <c r="J4">
        <v>516</v>
      </c>
      <c r="K4">
        <v>515</v>
      </c>
      <c r="L4">
        <v>579</v>
      </c>
      <c r="M4">
        <v>497</v>
      </c>
      <c r="N4">
        <v>493</v>
      </c>
      <c r="O4">
        <v>594</v>
      </c>
      <c r="P4">
        <v>500</v>
      </c>
      <c r="Q4">
        <v>467</v>
      </c>
      <c r="R4">
        <v>542</v>
      </c>
      <c r="S4">
        <v>425</v>
      </c>
      <c r="T4">
        <v>423</v>
      </c>
      <c r="U4">
        <v>492</v>
      </c>
      <c r="V4">
        <v>438</v>
      </c>
      <c r="W4">
        <v>416</v>
      </c>
      <c r="X4">
        <v>444</v>
      </c>
      <c r="Y4">
        <v>399</v>
      </c>
      <c r="Z4">
        <v>365</v>
      </c>
      <c r="AA4">
        <v>332</v>
      </c>
      <c r="AB4">
        <v>324</v>
      </c>
      <c r="AC4">
        <v>285</v>
      </c>
      <c r="AD4">
        <v>234</v>
      </c>
      <c r="AE4">
        <v>207</v>
      </c>
      <c r="AF4">
        <v>203</v>
      </c>
      <c r="AG4">
        <v>131</v>
      </c>
      <c r="AH4">
        <v>115</v>
      </c>
      <c r="AI4">
        <v>85</v>
      </c>
      <c r="AJ4">
        <v>42</v>
      </c>
      <c r="AK4">
        <v>47</v>
      </c>
      <c r="AL4">
        <v>22</v>
      </c>
      <c r="AM4">
        <v>18</v>
      </c>
      <c r="AN4">
        <v>4</v>
      </c>
      <c r="AO4">
        <v>1</v>
      </c>
    </row>
    <row r="5" spans="1:44" x14ac:dyDescent="0.2">
      <c r="A5" t="s">
        <v>61</v>
      </c>
      <c r="B5">
        <v>852</v>
      </c>
      <c r="C5">
        <v>826</v>
      </c>
      <c r="D5">
        <v>725</v>
      </c>
      <c r="E5">
        <v>702</v>
      </c>
      <c r="F5">
        <v>719</v>
      </c>
      <c r="G5">
        <v>657</v>
      </c>
      <c r="H5">
        <v>638</v>
      </c>
      <c r="I5">
        <v>652</v>
      </c>
      <c r="J5">
        <v>598</v>
      </c>
      <c r="K5">
        <v>572</v>
      </c>
      <c r="L5">
        <v>602</v>
      </c>
      <c r="M5">
        <v>495</v>
      </c>
      <c r="N5">
        <v>515</v>
      </c>
      <c r="O5">
        <v>589</v>
      </c>
      <c r="P5">
        <v>520</v>
      </c>
      <c r="Q5">
        <v>485</v>
      </c>
      <c r="R5">
        <v>519</v>
      </c>
      <c r="S5">
        <v>441</v>
      </c>
      <c r="T5">
        <v>453</v>
      </c>
      <c r="U5">
        <v>485</v>
      </c>
      <c r="V5">
        <v>437</v>
      </c>
      <c r="W5">
        <v>411</v>
      </c>
      <c r="X5">
        <v>430</v>
      </c>
      <c r="Y5">
        <v>350</v>
      </c>
      <c r="Z5">
        <v>340</v>
      </c>
      <c r="AA5">
        <v>359</v>
      </c>
      <c r="AB5">
        <v>309</v>
      </c>
      <c r="AC5">
        <v>262</v>
      </c>
      <c r="AD5">
        <v>240</v>
      </c>
      <c r="AE5">
        <v>186</v>
      </c>
      <c r="AF5">
        <v>176</v>
      </c>
      <c r="AG5">
        <v>123</v>
      </c>
      <c r="AH5">
        <v>110</v>
      </c>
      <c r="AI5">
        <v>61</v>
      </c>
      <c r="AJ5">
        <v>48</v>
      </c>
      <c r="AK5">
        <v>40</v>
      </c>
      <c r="AL5">
        <v>18</v>
      </c>
      <c r="AM5">
        <v>16</v>
      </c>
      <c r="AN5">
        <v>6</v>
      </c>
      <c r="AO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Sheet4</vt:lpstr>
      <vt:lpstr>getCitedFirst</vt:lpstr>
      <vt:lpstr>getCitedOnce</vt:lpstr>
      <vt:lpstr>Position Histograms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Irwin</dc:creator>
  <cp:lastModifiedBy>Max Irwin</cp:lastModifiedBy>
  <dcterms:created xsi:type="dcterms:W3CDTF">2025-08-15T18:08:16Z</dcterms:created>
  <dcterms:modified xsi:type="dcterms:W3CDTF">2025-08-15T20:17:55Z</dcterms:modified>
</cp:coreProperties>
</file>